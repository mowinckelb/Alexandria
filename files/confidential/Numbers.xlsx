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5-Year Proj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_);\(&quot;$&quot;#,##0\);&quot;\u2013&quot;_);@_)"/>
    <numFmt numFmtId="165" formatCode="#,##0.0%_);\(#,##0.0%\);&quot;\u2013&quot;_);@_)"/>
    <numFmt numFmtId="166" formatCode="#,##0_);\(#,##0\);&quot;\u2013&quot;_);@_)"/>
    <numFmt numFmtId="167" formatCode="#,##0%_);\(#,##0%\);&quot;\u2013&quot;_);@_)"/>
    <numFmt numFmtId="168" formatCode="0.0&quot;x&quot;"/>
  </numFmts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color rgb="00339933"/>
      <sz val="11"/>
    </font>
    <font>
      <name val="Calibri"/>
      <color rgb="00888888"/>
      <sz val="11"/>
    </font>
    <font>
      <name val="Calibri"/>
      <i val="1"/>
      <sz val="11"/>
    </font>
    <font>
      <name val="Calibri"/>
      <i val="1"/>
      <color rgb="000000CC"/>
      <sz val="11"/>
    </font>
    <font>
      <name val="Calibri"/>
      <color rgb="000000CC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bottom style="thin">
        <color rgb="00AAAAAA"/>
      </bottom>
    </border>
    <border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pivotButton="0" quotePrefix="0" xfId="0"/>
    <xf numFmtId="0" fontId="2" fillId="2" borderId="2" pivotButton="0" quotePrefix="0" xfId="0"/>
    <xf numFmtId="0" fontId="0" fillId="2" borderId="2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165" fontId="7" fillId="0" borderId="0" applyAlignment="1" pivotButton="0" quotePrefix="0" xfId="0">
      <alignment horizontal="right"/>
    </xf>
    <xf numFmtId="0" fontId="2" fillId="0" borderId="0" pivotButton="0" quotePrefix="0" xfId="0"/>
    <xf numFmtId="164" fontId="8" fillId="0" borderId="0" applyAlignment="1" pivotButton="0" quotePrefix="0" xfId="0">
      <alignment horizontal="right"/>
    </xf>
    <xf numFmtId="0" fontId="2" fillId="0" borderId="1" pivotButton="0" quotePrefix="0" xfId="0"/>
    <xf numFmtId="164" fontId="8" fillId="0" borderId="1" applyAlignment="1" pivotButton="0" quotePrefix="0" xfId="0">
      <alignment horizontal="right"/>
    </xf>
    <xf numFmtId="0" fontId="5" fillId="0" borderId="1" pivotButton="0" quotePrefix="0" xfId="0"/>
    <xf numFmtId="165" fontId="4" fillId="0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167" fontId="7" fillId="0" borderId="0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0" fillId="0" borderId="1" pivotButton="0" quotePrefix="0" xfId="0"/>
    <xf numFmtId="164" fontId="3" fillId="0" borderId="0" applyAlignment="1" pivotButton="0" quotePrefix="0" xfId="0">
      <alignment horizontal="right"/>
    </xf>
    <xf numFmtId="168" fontId="8" fillId="0" borderId="0" applyAlignment="1" pivotButton="0" quotePrefix="0" xfId="0">
      <alignment horizontal="right"/>
    </xf>
    <xf numFmtId="168" fontId="3" fillId="0" borderId="1" applyAlignment="1" pivotButton="0" quotePrefix="0" xfId="0">
      <alignment horizontal="right"/>
    </xf>
    <xf numFmtId="0" fontId="3" fillId="0" borderId="2" applyAlignment="1" pivotButton="0" quotePrefix="0" xfId="0">
      <alignment horizontal="right"/>
    </xf>
    <xf numFmtId="0" fontId="2" fillId="2" borderId="1" pivotButton="0" quotePrefix="0" xfId="0"/>
    <xf numFmtId="0" fontId="0" fillId="2" borderId="1" pivotButton="0" quotePrefix="0" xfId="0"/>
    <xf numFmtId="166" fontId="3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0" fontId="3" fillId="0" borderId="1" pivotButton="0" quotePrefix="0" xfId="0"/>
    <xf numFmtId="168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66"/>
  <sheetViews>
    <sheetView workbookViewId="0">
      <selection activeCell="A1" sqref="A1"/>
    </sheetView>
  </sheetViews>
  <sheetFormatPr baseColWidth="8" defaultRowHeight="15"/>
  <cols>
    <col width="1.5" customWidth="1" min="1" max="1"/>
    <col width="40" customWidth="1" min="2" max="2"/>
    <col width="14" customWidth="1" min="3" max="3"/>
    <col width="50" customWidth="1" min="4" max="4"/>
  </cols>
  <sheetData>
    <row r="1">
      <c r="B1" s="1" t="inlineStr">
        <is>
          <t>Alexandria Library, Inc — Financial Model</t>
        </is>
      </c>
    </row>
    <row r="3">
      <c r="B3" s="2" t="inlineStr">
        <is>
          <t>Pricing</t>
        </is>
      </c>
      <c r="C3" s="3" t="n"/>
      <c r="D3" s="3" t="n"/>
    </row>
    <row r="4">
      <c r="B4" s="4" t="inlineStr">
        <is>
          <t>Sovereignty — with kin</t>
        </is>
      </c>
      <c r="C4" s="5" t="n">
        <v>5</v>
      </c>
      <c r="D4" s="6" t="inlineStr">
        <is>
          <t>$/month</t>
        </is>
      </c>
    </row>
    <row r="5">
      <c r="B5" s="4" t="inlineStr">
        <is>
          <t>Sovereignty — without kin</t>
        </is>
      </c>
      <c r="C5" s="5" t="n">
        <v>10</v>
      </c>
      <c r="D5" s="6" t="inlineStr">
        <is>
          <t>$/month</t>
        </is>
      </c>
    </row>
    <row r="6">
      <c r="B6" s="4" t="inlineStr">
        <is>
          <t>Examined Life — with kin</t>
        </is>
      </c>
      <c r="C6" s="5" t="n">
        <v>15</v>
      </c>
      <c r="D6" s="6" t="inlineStr">
        <is>
          <t>$/month</t>
        </is>
      </c>
    </row>
    <row r="7">
      <c r="B7" s="4" t="inlineStr">
        <is>
          <t>Examined Life — without kin</t>
        </is>
      </c>
      <c r="C7" s="5" t="n">
        <v>20</v>
      </c>
      <c r="D7" s="6" t="inlineStr">
        <is>
          <t>$/month</t>
        </is>
      </c>
    </row>
    <row r="8">
      <c r="B8" s="7" t="inlineStr">
        <is>
          <t>% of users with 3+ active kin</t>
        </is>
      </c>
      <c r="C8" s="8" t="n">
        <v>0.6</v>
      </c>
    </row>
    <row r="9">
      <c r="B9" s="9" t="inlineStr">
        <is>
          <t>Effective Sovereignty ARPU</t>
        </is>
      </c>
      <c r="C9" s="10" t="n">
        <v>6</v>
      </c>
      <c r="D9" s="6" t="inlineStr">
        <is>
          <t>Blended $7, after quarterly/annual discounts</t>
        </is>
      </c>
    </row>
    <row r="10">
      <c r="B10" s="11" t="inlineStr">
        <is>
          <t>Effective Examined Life ARPU</t>
        </is>
      </c>
      <c r="C10" s="12" t="n">
        <v>15</v>
      </c>
      <c r="D10" s="13" t="inlineStr">
        <is>
          <t>Blended $17, after discounts</t>
        </is>
      </c>
    </row>
    <row r="12">
      <c r="B12" s="2" t="inlineStr">
        <is>
          <t>Payment Processing</t>
        </is>
      </c>
      <c r="C12" s="3" t="n"/>
      <c r="D12" s="3" t="n"/>
    </row>
    <row r="13">
      <c r="B13" s="4" t="inlineStr">
        <is>
          <t>ACH rate (Sovereignty)</t>
        </is>
      </c>
      <c r="C13" s="14" t="n">
        <v>0.008</v>
      </c>
      <c r="D13" s="6" t="inlineStr">
        <is>
          <t>0.8% flat, no per-txn fee</t>
        </is>
      </c>
    </row>
    <row r="14">
      <c r="B14" s="4" t="inlineStr">
        <is>
          <t>Stripe % rate (Examined Life)</t>
        </is>
      </c>
      <c r="C14" s="14" t="n">
        <v>0.029</v>
      </c>
      <c r="D14" s="6" t="inlineStr">
        <is>
          <t>2.9%</t>
        </is>
      </c>
    </row>
    <row r="15">
      <c r="B15" s="4" t="inlineStr">
        <is>
          <t>Stripe per-txn fee</t>
        </is>
      </c>
      <c r="C15" s="5" t="n">
        <v>0.3</v>
      </c>
      <c r="D15" s="6" t="inlineStr">
        <is>
          <t>$0.30/txn</t>
        </is>
      </c>
    </row>
    <row r="17">
      <c r="B17" s="2" t="inlineStr">
        <is>
          <t>Growth</t>
        </is>
      </c>
      <c r="C17" s="3" t="n"/>
      <c r="D17" s="3" t="n"/>
    </row>
    <row r="18">
      <c r="B18" s="4" t="inlineStr">
        <is>
          <t>Year 1 Sovereignty users (EOY)</t>
        </is>
      </c>
      <c r="C18" s="15" t="n">
        <v>2000</v>
      </c>
    </row>
    <row r="19">
      <c r="B19" s="4" t="inlineStr">
        <is>
          <t>Year 2 growth</t>
        </is>
      </c>
      <c r="C19" s="16" t="n">
        <v>1.5</v>
      </c>
    </row>
    <row r="20">
      <c r="B20" s="4" t="inlineStr">
        <is>
          <t>Year 3 growth</t>
        </is>
      </c>
      <c r="C20" s="16" t="n">
        <v>1.2</v>
      </c>
    </row>
    <row r="21">
      <c r="B21" s="4" t="inlineStr">
        <is>
          <t>Year 4 growth</t>
        </is>
      </c>
      <c r="C21" s="16" t="n">
        <v>0.9</v>
      </c>
    </row>
    <row r="22">
      <c r="B22" s="4" t="inlineStr">
        <is>
          <t>Year 5 growth</t>
        </is>
      </c>
      <c r="C22" s="16" t="n">
        <v>0.6</v>
      </c>
    </row>
    <row r="23">
      <c r="B23" s="4" t="inlineStr">
        <is>
          <t>Year 1 Sov → EL conversion</t>
        </is>
      </c>
      <c r="C23" s="8" t="n">
        <v>0.08</v>
      </c>
    </row>
    <row r="24">
      <c r="B24" s="4" t="inlineStr">
        <is>
          <t>Annual conversion improvement</t>
        </is>
      </c>
      <c r="C24" s="8" t="n">
        <v>0.02</v>
      </c>
      <c r="D24" s="6" t="inlineStr">
        <is>
          <t>+2pp/year</t>
        </is>
      </c>
    </row>
    <row r="25">
      <c r="B25" s="4" t="inlineStr">
        <is>
          <t>EL direct users (Year 1 seed)</t>
        </is>
      </c>
      <c r="C25" s="15" t="n">
        <v>50</v>
      </c>
    </row>
    <row r="26">
      <c r="B26" s="4" t="inlineStr">
        <is>
          <t>EL organic growth</t>
        </is>
      </c>
      <c r="C26" s="16" t="n">
        <v>0.3</v>
      </c>
      <c r="D26" s="6" t="inlineStr">
        <is>
          <t>30% YoY</t>
        </is>
      </c>
    </row>
    <row r="27">
      <c r="B27" s="7" t="inlineStr">
        <is>
          <t>Monthly churn — Sovereignty</t>
        </is>
      </c>
      <c r="C27" s="8" t="n">
        <v>0.04</v>
      </c>
    </row>
    <row r="28">
      <c r="B28" s="7" t="inlineStr">
        <is>
          <t>Monthly churn — Examined Life</t>
        </is>
      </c>
      <c r="C28" s="8" t="n">
        <v>0.02</v>
      </c>
    </row>
    <row r="30">
      <c r="B30" s="2" t="inlineStr">
        <is>
          <t>Company Opex (Monthly)</t>
        </is>
      </c>
      <c r="C30" s="3" t="n"/>
      <c r="D30" s="3" t="n"/>
    </row>
    <row r="31">
      <c r="B31" s="4" t="inlineStr">
        <is>
          <t>Claude Max</t>
        </is>
      </c>
      <c r="C31" s="5" t="n">
        <v>100</v>
      </c>
      <c r="D31" s="6" t="inlineStr">
        <is>
          <t>anthropic.com</t>
        </is>
      </c>
    </row>
    <row r="32">
      <c r="B32" s="4" t="inlineStr">
        <is>
          <t>Fly.io</t>
        </is>
      </c>
      <c r="C32" s="5" t="n">
        <v>2</v>
      </c>
      <c r="D32" s="6" t="inlineStr">
        <is>
          <t>fly.io</t>
        </is>
      </c>
    </row>
    <row r="33">
      <c r="B33" s="11" t="inlineStr">
        <is>
          <t>Total monthly opex</t>
        </is>
      </c>
      <c r="C33" s="17">
        <f>C31+C32</f>
        <v/>
      </c>
      <c r="D33" s="18" t="n"/>
    </row>
    <row r="34">
      <c r="B34" s="9" t="inlineStr">
        <is>
          <t>Annual opex</t>
        </is>
      </c>
      <c r="C34" s="19">
        <f>C33*12</f>
        <v/>
      </c>
    </row>
    <row r="35">
      <c r="B35" s="7" t="inlineStr">
        <is>
          <t>Free stack</t>
        </is>
      </c>
      <c r="D35" s="6" t="inlineStr">
        <is>
          <t>GitHub, Google Drive, Vercel, UptimeRobot, Google Cloud, Claude Code — all $0</t>
        </is>
      </c>
    </row>
    <row r="37">
      <c r="B37" s="2" t="inlineStr">
        <is>
          <t>Legal &amp; Filing Costs</t>
        </is>
      </c>
      <c r="C37" s="3" t="n"/>
      <c r="D37" s="3" t="n"/>
    </row>
    <row r="38">
      <c r="B38" s="4" t="inlineStr">
        <is>
          <t>Stripe Atlas (Delaware C-Corp)</t>
        </is>
      </c>
      <c r="C38" s="5" t="n">
        <v>500</v>
      </c>
      <c r="D38" s="6" t="inlineStr">
        <is>
          <t>Paid</t>
        </is>
      </c>
    </row>
    <row r="39">
      <c r="B39" s="4" t="inlineStr">
        <is>
          <t>California foreign qualification</t>
        </is>
      </c>
      <c r="C39" s="5" t="n">
        <v>150</v>
      </c>
    </row>
    <row r="40">
      <c r="B40" s="11" t="inlineStr">
        <is>
          <t>Total one-time</t>
        </is>
      </c>
      <c r="C40" s="17">
        <f>C38+C39</f>
        <v/>
      </c>
      <c r="D40" s="18" t="n"/>
    </row>
    <row r="41">
      <c r="B41" s="4" t="inlineStr">
        <is>
          <t>Delaware franchise tax (annual)</t>
        </is>
      </c>
      <c r="C41" s="5" t="n">
        <v>400</v>
      </c>
    </row>
    <row r="42">
      <c r="B42" s="4" t="inlineStr">
        <is>
          <t>California franchise tax (annual)</t>
        </is>
      </c>
      <c r="C42" s="5" t="n">
        <v>800</v>
      </c>
    </row>
    <row r="43">
      <c r="B43" s="4" t="inlineStr">
        <is>
          <t>Registered agent (annual)</t>
        </is>
      </c>
      <c r="C43" s="5" t="n">
        <v>150</v>
      </c>
    </row>
    <row r="44">
      <c r="B44" s="4" t="inlineStr">
        <is>
          <t>CPA — federal return</t>
        </is>
      </c>
      <c r="C44" s="10" t="n">
        <v>1500</v>
      </c>
      <c r="D44" s="6" t="inlineStr">
        <is>
          <t>Estimate</t>
        </is>
      </c>
    </row>
    <row r="45">
      <c r="B45" s="4" t="inlineStr">
        <is>
          <t>CPA — state return(s)</t>
        </is>
      </c>
      <c r="C45" s="10" t="n">
        <v>500</v>
      </c>
      <c r="D45" s="6" t="inlineStr">
        <is>
          <t>Estimate</t>
        </is>
      </c>
    </row>
    <row r="46">
      <c r="B46" s="11" t="inlineStr">
        <is>
          <t>Total recurring annual</t>
        </is>
      </c>
      <c r="C46" s="17">
        <f>SUM(C41:C45)</f>
        <v/>
      </c>
      <c r="D46" s="18" t="n"/>
    </row>
    <row r="48">
      <c r="B48" s="2" t="inlineStr">
        <is>
          <t>Founder Living Costs (not company opex)</t>
        </is>
      </c>
      <c r="C48" s="3" t="n"/>
      <c r="D48" s="3" t="n"/>
    </row>
    <row r="49">
      <c r="B49" s="4" t="inlineStr">
        <is>
          <t>Monthly</t>
        </is>
      </c>
      <c r="C49" s="5" t="n">
        <v>300</v>
      </c>
      <c r="D49" s="6" t="inlineStr">
        <is>
          <t>$55/week food + T-Mobile + Apple One</t>
        </is>
      </c>
    </row>
    <row r="50">
      <c r="B50" s="9" t="inlineStr">
        <is>
          <t>Annual</t>
        </is>
      </c>
      <c r="C50" s="19">
        <f>C49*12</f>
        <v/>
      </c>
    </row>
    <row r="52">
      <c r="B52" s="2" t="inlineStr">
        <is>
          <t>Marketing</t>
        </is>
      </c>
      <c r="C52" s="3" t="n"/>
      <c r="D52" s="3" t="n"/>
    </row>
    <row r="53">
      <c r="B53" s="4" t="inlineStr">
        <is>
          <t>Year 1 ad spend (monthly)</t>
        </is>
      </c>
      <c r="C53" s="10" t="n">
        <v>500</v>
      </c>
    </row>
    <row r="54">
      <c r="B54" s="4" t="inlineStr">
        <is>
          <t>Year 2+ ad spend (monthly)</t>
        </is>
      </c>
      <c r="C54" s="10" t="n">
        <v>1000</v>
      </c>
    </row>
    <row r="56">
      <c r="B56" s="2" t="inlineStr">
        <is>
          <t>Library for Labs (Year 3+)</t>
        </is>
      </c>
      <c r="C56" s="3" t="n"/>
      <c r="D56" s="3" t="n"/>
    </row>
    <row r="57">
      <c r="B57" s="4" t="inlineStr">
        <is>
          <t>Average annual contract value</t>
        </is>
      </c>
      <c r="C57" s="10" t="n">
        <v>50000</v>
      </c>
    </row>
    <row r="58">
      <c r="B58" s="4" t="inlineStr">
        <is>
          <t>Year 3 contracts</t>
        </is>
      </c>
      <c r="C58" s="15" t="n">
        <v>2</v>
      </c>
    </row>
    <row r="59">
      <c r="B59" s="4" t="inlineStr">
        <is>
          <t>Year 4 contracts</t>
        </is>
      </c>
      <c r="C59" s="15" t="n">
        <v>5</v>
      </c>
    </row>
    <row r="60">
      <c r="B60" s="4" t="inlineStr">
        <is>
          <t>Year 5 contracts</t>
        </is>
      </c>
      <c r="C60" s="15" t="n">
        <v>12</v>
      </c>
    </row>
    <row r="61">
      <c r="B61" s="4" t="inlineStr">
        <is>
          <t>Library for People (Y4+, annual)</t>
        </is>
      </c>
      <c r="C61" s="10" t="n">
        <v>25000</v>
      </c>
    </row>
    <row r="63">
      <c r="B63" s="2" t="inlineStr">
        <is>
          <t>Exit / Valuation</t>
        </is>
      </c>
      <c r="C63" s="3" t="n"/>
      <c r="D63" s="3" t="n"/>
    </row>
    <row r="64">
      <c r="B64" s="4" t="inlineStr">
        <is>
          <t>Revenue multiple (SaaS)</t>
        </is>
      </c>
      <c r="C64" s="20" t="n">
        <v>10</v>
      </c>
    </row>
    <row r="65">
      <c r="B65" s="4" t="inlineStr">
        <is>
          <t>Strategic premium (dataset)</t>
        </is>
      </c>
      <c r="C65" s="20" t="n">
        <v>2</v>
      </c>
    </row>
    <row r="66">
      <c r="B66" s="11" t="inlineStr">
        <is>
          <t>Year 5 exit multiple</t>
        </is>
      </c>
      <c r="C66" s="21">
        <f>C64*C65</f>
        <v/>
      </c>
      <c r="D66" s="1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41"/>
  <sheetViews>
    <sheetView workbookViewId="0">
      <selection activeCell="A1" sqref="A1"/>
    </sheetView>
  </sheetViews>
  <sheetFormatPr baseColWidth="8" defaultRowHeight="15"/>
  <cols>
    <col width="1.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B1" s="1" t="inlineStr">
        <is>
          <t>Alexandria Library, Inc — 5-Year Projections</t>
        </is>
      </c>
    </row>
    <row r="3">
      <c r="D3" s="22" t="inlineStr">
        <is>
          <t>Year 1</t>
        </is>
      </c>
      <c r="E3" s="22" t="inlineStr">
        <is>
          <t>Year 2</t>
        </is>
      </c>
      <c r="F3" s="22" t="inlineStr">
        <is>
          <t>Year 3</t>
        </is>
      </c>
      <c r="G3" s="22" t="inlineStr">
        <is>
          <t>Year 4</t>
        </is>
      </c>
      <c r="H3" s="22" t="inlineStr">
        <is>
          <t>Year 5</t>
        </is>
      </c>
    </row>
    <row r="4">
      <c r="B4" s="23" t="inlineStr">
        <is>
          <t>Users</t>
        </is>
      </c>
      <c r="C4" s="24" t="n"/>
      <c r="D4" s="24" t="n"/>
      <c r="E4" s="24" t="n"/>
      <c r="F4" s="24" t="n"/>
      <c r="G4" s="24" t="n"/>
      <c r="H4" s="24" t="n"/>
    </row>
    <row r="5">
      <c r="B5" s="4" t="inlineStr">
        <is>
          <t>Sovereignty users (EOY)</t>
        </is>
      </c>
      <c r="D5" s="25">
        <f>Assumptions!C18</f>
        <v/>
      </c>
      <c r="E5" s="25">
        <f>ROUND(D5*(1+Assumptions!C19),0)</f>
        <v/>
      </c>
      <c r="F5" s="25">
        <f>ROUND(E5*(1+Assumptions!C20),0)</f>
        <v/>
      </c>
      <c r="G5" s="25">
        <f>ROUND(F5*(1+Assumptions!C21),0)</f>
        <v/>
      </c>
      <c r="H5" s="25">
        <f>ROUND(G5*(1+Assumptions!C22),0)</f>
        <v/>
      </c>
    </row>
    <row r="6">
      <c r="C6" s="7" t="inlineStr">
        <is>
          <t>Sov → EL conversion</t>
        </is>
      </c>
      <c r="D6" s="26">
        <f>Assumptions!C23</f>
        <v/>
      </c>
      <c r="E6" s="26">
        <f>D6+Assumptions!C24</f>
        <v/>
      </c>
      <c r="F6" s="26">
        <f>E6+Assumptions!C24</f>
        <v/>
      </c>
      <c r="G6" s="26">
        <f>F6+Assumptions!C24</f>
        <v/>
      </c>
      <c r="H6" s="26">
        <f>G6+Assumptions!C24</f>
        <v/>
      </c>
    </row>
    <row r="7">
      <c r="B7" s="4" t="inlineStr">
        <is>
          <t>Converted to Examined Life</t>
        </is>
      </c>
      <c r="D7" s="25">
        <f>ROUND(D5*D6,0)</f>
        <v/>
      </c>
      <c r="E7" s="25">
        <f>ROUND(E5*E6,0)</f>
        <v/>
      </c>
      <c r="F7" s="25">
        <f>ROUND(F5*F6,0)</f>
        <v/>
      </c>
      <c r="G7" s="25">
        <f>ROUND(G5*G6,0)</f>
        <v/>
      </c>
      <c r="H7" s="25">
        <f>ROUND(H5*H6,0)</f>
        <v/>
      </c>
    </row>
    <row r="8">
      <c r="B8" s="4" t="inlineStr">
        <is>
          <t>Examined Life (direct)</t>
        </is>
      </c>
      <c r="D8" s="25">
        <f>Assumptions!C25</f>
        <v/>
      </c>
      <c r="E8" s="25">
        <f>ROUND(D8*(1+Assumptions!C26),0)</f>
        <v/>
      </c>
      <c r="F8" s="25">
        <f>ROUND(E8*(1+Assumptions!C26),0)</f>
        <v/>
      </c>
      <c r="G8" s="25">
        <f>ROUND(F8*(1+Assumptions!C26),0)</f>
        <v/>
      </c>
      <c r="H8" s="25">
        <f>ROUND(G8*(1+Assumptions!C26),0)</f>
        <v/>
      </c>
    </row>
    <row r="9">
      <c r="B9" s="9" t="inlineStr">
        <is>
          <t>Total Examined Life users</t>
        </is>
      </c>
      <c r="D9" s="25">
        <f>D7+D8</f>
        <v/>
      </c>
      <c r="E9" s="25">
        <f>E7+E8</f>
        <v/>
      </c>
      <c r="F9" s="25">
        <f>F7+F8</f>
        <v/>
      </c>
      <c r="G9" s="25">
        <f>G7+G8</f>
        <v/>
      </c>
      <c r="H9" s="25">
        <f>H7+H8</f>
        <v/>
      </c>
    </row>
    <row r="10">
      <c r="B10" s="11" t="inlineStr">
        <is>
          <t>Total paying users</t>
        </is>
      </c>
      <c r="C10" s="18" t="n"/>
      <c r="D10" s="27">
        <f>D5+D9</f>
        <v/>
      </c>
      <c r="E10" s="27">
        <f>E5+E9</f>
        <v/>
      </c>
      <c r="F10" s="27">
        <f>F5+F9</f>
        <v/>
      </c>
      <c r="G10" s="27">
        <f>G5+G9</f>
        <v/>
      </c>
      <c r="H10" s="27">
        <f>H5+H9</f>
        <v/>
      </c>
    </row>
    <row r="12">
      <c r="B12" s="23" t="inlineStr">
        <is>
          <t>Revenue</t>
        </is>
      </c>
      <c r="C12" s="24" t="n"/>
      <c r="D12" s="24" t="n"/>
      <c r="E12" s="24" t="n"/>
      <c r="F12" s="24" t="n"/>
      <c r="G12" s="24" t="n"/>
      <c r="H12" s="24" t="n"/>
    </row>
    <row r="13">
      <c r="B13" s="4" t="inlineStr">
        <is>
          <t>Sovereignty subscriptions</t>
        </is>
      </c>
      <c r="D13" s="19">
        <f>D5*Assumptions!C9*12</f>
        <v/>
      </c>
      <c r="E13" s="19">
        <f>E5*Assumptions!C9*12</f>
        <v/>
      </c>
      <c r="F13" s="19">
        <f>F5*Assumptions!C9*12</f>
        <v/>
      </c>
      <c r="G13" s="19">
        <f>G5*Assumptions!C9*12</f>
        <v/>
      </c>
      <c r="H13" s="19">
        <f>H5*Assumptions!C9*12</f>
        <v/>
      </c>
    </row>
    <row r="14">
      <c r="C14" s="7" t="inlineStr">
        <is>
          <t>% growth</t>
        </is>
      </c>
      <c r="E14" s="26">
        <f>E13/D13-1</f>
        <v/>
      </c>
      <c r="F14" s="26">
        <f>F13/E13-1</f>
        <v/>
      </c>
      <c r="G14" s="26">
        <f>G13/F13-1</f>
        <v/>
      </c>
      <c r="H14" s="26">
        <f>H13/G13-1</f>
        <v/>
      </c>
    </row>
    <row r="15">
      <c r="B15" s="4" t="inlineStr">
        <is>
          <t>Examined Life subscriptions</t>
        </is>
      </c>
      <c r="D15" s="19">
        <f>D9*Assumptions!C10*12</f>
        <v/>
      </c>
      <c r="E15" s="19">
        <f>E9*Assumptions!C10*12</f>
        <v/>
      </c>
      <c r="F15" s="19">
        <f>F9*Assumptions!C10*12</f>
        <v/>
      </c>
      <c r="G15" s="19">
        <f>G9*Assumptions!C10*12</f>
        <v/>
      </c>
      <c r="H15" s="19">
        <f>H9*Assumptions!C10*12</f>
        <v/>
      </c>
    </row>
    <row r="16">
      <c r="B16" s="11" t="inlineStr">
        <is>
          <t>Total subscription revenue</t>
        </is>
      </c>
      <c r="C16" s="18" t="n"/>
      <c r="D16" s="17">
        <f>D13+D15</f>
        <v/>
      </c>
      <c r="E16" s="17">
        <f>E13+E15</f>
        <v/>
      </c>
      <c r="F16" s="17">
        <f>F13+F15</f>
        <v/>
      </c>
      <c r="G16" s="17">
        <f>G13+G15</f>
        <v/>
      </c>
      <c r="H16" s="17">
        <f>H13+H15</f>
        <v/>
      </c>
    </row>
    <row r="18">
      <c r="B18" s="4" t="inlineStr">
        <is>
          <t>Library for Labs (B2B)</t>
        </is>
      </c>
      <c r="D18" s="19" t="n">
        <v>0</v>
      </c>
      <c r="E18" s="19" t="n">
        <v>0</v>
      </c>
      <c r="F18" s="19">
        <f>Assumptions!C58*Assumptions!C57</f>
        <v/>
      </c>
      <c r="G18" s="19">
        <f>Assumptions!C59*Assumptions!C57</f>
        <v/>
      </c>
      <c r="H18" s="19">
        <f>Assumptions!C60*Assumptions!C57</f>
        <v/>
      </c>
    </row>
    <row r="19">
      <c r="B19" s="4" t="inlineStr">
        <is>
          <t>Library for People</t>
        </is>
      </c>
      <c r="D19" s="19" t="n">
        <v>0</v>
      </c>
      <c r="E19" s="19" t="n">
        <v>0</v>
      </c>
      <c r="F19" s="19" t="n">
        <v>0</v>
      </c>
      <c r="G19" s="19">
        <f>Assumptions!C61</f>
        <v/>
      </c>
      <c r="H19" s="19">
        <f>Assumptions!C61*2</f>
        <v/>
      </c>
    </row>
    <row r="20">
      <c r="B20" s="9" t="inlineStr">
        <is>
          <t>Total Library revenue</t>
        </is>
      </c>
      <c r="D20" s="19">
        <f>D18+D19</f>
        <v/>
      </c>
      <c r="E20" s="19">
        <f>E18+E19</f>
        <v/>
      </c>
      <c r="F20" s="19">
        <f>F18+F19</f>
        <v/>
      </c>
      <c r="G20" s="19">
        <f>G18+G19</f>
        <v/>
      </c>
      <c r="H20" s="19">
        <f>H18+H19</f>
        <v/>
      </c>
    </row>
    <row r="22">
      <c r="B22" s="11" t="inlineStr">
        <is>
          <t>TOTAL REVENUE</t>
        </is>
      </c>
      <c r="C22" s="18" t="n"/>
      <c r="D22" s="17">
        <f>D16+D20</f>
        <v/>
      </c>
      <c r="E22" s="17">
        <f>E16+E20</f>
        <v/>
      </c>
      <c r="F22" s="17">
        <f>F16+F20</f>
        <v/>
      </c>
      <c r="G22" s="17">
        <f>G16+G20</f>
        <v/>
      </c>
      <c r="H22" s="17">
        <f>H16+H20</f>
        <v/>
      </c>
    </row>
    <row r="23">
      <c r="C23" s="7" t="inlineStr">
        <is>
          <t>% growth</t>
        </is>
      </c>
      <c r="E23" s="26">
        <f>E22/D22-1</f>
        <v/>
      </c>
      <c r="F23" s="26">
        <f>F22/E22-1</f>
        <v/>
      </c>
      <c r="G23" s="26">
        <f>G22/F22-1</f>
        <v/>
      </c>
      <c r="H23" s="26">
        <f>H22/G22-1</f>
        <v/>
      </c>
    </row>
    <row r="25">
      <c r="B25" s="23" t="inlineStr">
        <is>
          <t>Costs</t>
        </is>
      </c>
      <c r="C25" s="24" t="n"/>
      <c r="D25" s="24" t="n"/>
      <c r="E25" s="24" t="n"/>
      <c r="F25" s="24" t="n"/>
      <c r="G25" s="24" t="n"/>
      <c r="H25" s="24" t="n"/>
    </row>
    <row r="26">
      <c r="B26" s="4" t="inlineStr">
        <is>
          <t>Infrastructure</t>
        </is>
      </c>
      <c r="D26" s="19">
        <f>Assumptions!C34</f>
        <v/>
      </c>
      <c r="E26" s="19">
        <f>Assumptions!C34</f>
        <v/>
      </c>
      <c r="F26" s="19">
        <f>Assumptions!C34</f>
        <v/>
      </c>
      <c r="G26" s="19">
        <f>Assumptions!C34</f>
        <v/>
      </c>
      <c r="H26" s="19">
        <f>Assumptions!C34</f>
        <v/>
      </c>
    </row>
    <row r="27">
      <c r="B27" s="4" t="inlineStr">
        <is>
          <t>Payment processing</t>
        </is>
      </c>
      <c r="D27" s="19">
        <f>ROUND(D13*Assumptions!C13+D15*Assumptions!C14+D9*12*Assumptions!C15,0)</f>
        <v/>
      </c>
      <c r="E27" s="19">
        <f>ROUND(E13*Assumptions!C13+E15*Assumptions!C14+E9*12*Assumptions!C15,0)</f>
        <v/>
      </c>
      <c r="F27" s="19">
        <f>ROUND(F13*Assumptions!C13+F15*Assumptions!C14+F9*12*Assumptions!C15,0)</f>
        <v/>
      </c>
      <c r="G27" s="19">
        <f>ROUND(G13*Assumptions!C13+G15*Assumptions!C14+G9*12*Assumptions!C15,0)</f>
        <v/>
      </c>
      <c r="H27" s="19">
        <f>ROUND(H13*Assumptions!C13+H15*Assumptions!C14+H9*12*Assumptions!C15,0)</f>
        <v/>
      </c>
    </row>
    <row r="28">
      <c r="B28" s="4" t="inlineStr">
        <is>
          <t>Taxes, permits, filings</t>
        </is>
      </c>
      <c r="D28" s="19">
        <f>Assumptions!C40+Assumptions!C46</f>
        <v/>
      </c>
      <c r="E28" s="19">
        <f>Assumptions!C46</f>
        <v/>
      </c>
      <c r="F28" s="19">
        <f>Assumptions!C46</f>
        <v/>
      </c>
      <c r="G28" s="19">
        <f>Assumptions!C46</f>
        <v/>
      </c>
      <c r="H28" s="19">
        <f>Assumptions!C46</f>
        <v/>
      </c>
    </row>
    <row r="29">
      <c r="B29" s="4" t="inlineStr">
        <is>
          <t>Ads / marketing</t>
        </is>
      </c>
      <c r="D29" s="19">
        <f>Assumptions!C53*12</f>
        <v/>
      </c>
      <c r="E29" s="19">
        <f>Assumptions!C54*12</f>
        <v/>
      </c>
      <c r="F29" s="19">
        <f>Assumptions!C54*12</f>
        <v/>
      </c>
      <c r="G29" s="19">
        <f>Assumptions!C54*12</f>
        <v/>
      </c>
      <c r="H29" s="19">
        <f>Assumptions!C54*12</f>
        <v/>
      </c>
    </row>
    <row r="30">
      <c r="B30" s="7" t="inlineStr">
        <is>
          <t>Founder living costs</t>
        </is>
      </c>
      <c r="D30" s="28">
        <f>Assumptions!C50</f>
        <v/>
      </c>
      <c r="E30" s="28">
        <f>Assumptions!C50</f>
        <v/>
      </c>
      <c r="F30" s="28">
        <f>Assumptions!C50</f>
        <v/>
      </c>
      <c r="G30" s="28">
        <f>Assumptions!C50</f>
        <v/>
      </c>
      <c r="H30" s="28">
        <f>Assumptions!C50</f>
        <v/>
      </c>
    </row>
    <row r="31">
      <c r="B31" s="11" t="inlineStr">
        <is>
          <t>Total costs</t>
        </is>
      </c>
      <c r="C31" s="18" t="n"/>
      <c r="D31" s="17">
        <f>SUM(D26:D30)</f>
        <v/>
      </c>
      <c r="E31" s="17">
        <f>SUM(E26:E30)</f>
        <v/>
      </c>
      <c r="F31" s="17">
        <f>SUM(F26:F30)</f>
        <v/>
      </c>
      <c r="G31" s="17">
        <f>SUM(G26:G30)</f>
        <v/>
      </c>
      <c r="H31" s="17">
        <f>SUM(H26:H30)</f>
        <v/>
      </c>
    </row>
    <row r="33">
      <c r="B33" s="23" t="inlineStr">
        <is>
          <t>Profitability</t>
        </is>
      </c>
      <c r="C33" s="24" t="n"/>
      <c r="D33" s="24" t="n"/>
      <c r="E33" s="24" t="n"/>
      <c r="F33" s="24" t="n"/>
      <c r="G33" s="24" t="n"/>
      <c r="H33" s="24" t="n"/>
    </row>
    <row r="34">
      <c r="B34" s="9" t="inlineStr">
        <is>
          <t>Net income</t>
        </is>
      </c>
      <c r="D34" s="19">
        <f>D22-D31</f>
        <v/>
      </c>
      <c r="E34" s="19">
        <f>E22-E31</f>
        <v/>
      </c>
      <c r="F34" s="19">
        <f>F22-F31</f>
        <v/>
      </c>
      <c r="G34" s="19">
        <f>G22-G31</f>
        <v/>
      </c>
      <c r="H34" s="19">
        <f>H22-H31</f>
        <v/>
      </c>
    </row>
    <row r="35">
      <c r="C35" s="7" t="inlineStr">
        <is>
          <t>% margin</t>
        </is>
      </c>
      <c r="D35" s="26">
        <f>D34/D22</f>
        <v/>
      </c>
      <c r="E35" s="26">
        <f>E34/E22</f>
        <v/>
      </c>
      <c r="F35" s="26">
        <f>F34/F22</f>
        <v/>
      </c>
      <c r="G35" s="26">
        <f>G34/G22</f>
        <v/>
      </c>
      <c r="H35" s="26">
        <f>H34/H22</f>
        <v/>
      </c>
    </row>
    <row r="36">
      <c r="B36" s="29" t="inlineStr">
        <is>
          <t>Cumulative net income</t>
        </is>
      </c>
      <c r="C36" s="18" t="n"/>
      <c r="D36" s="17">
        <f>D34</f>
        <v/>
      </c>
      <c r="E36" s="17">
        <f>D36+E34</f>
        <v/>
      </c>
      <c r="F36" s="17">
        <f>E36+F34</f>
        <v/>
      </c>
      <c r="G36" s="17">
        <f>F36+G34</f>
        <v/>
      </c>
      <c r="H36" s="17">
        <f>G36+H34</f>
        <v/>
      </c>
    </row>
    <row r="38">
      <c r="B38" s="23" t="inlineStr">
        <is>
          <t>Valuation</t>
        </is>
      </c>
      <c r="C38" s="24" t="n"/>
      <c r="D38" s="24" t="n"/>
      <c r="E38" s="24" t="n"/>
      <c r="F38" s="24" t="n"/>
      <c r="G38" s="24" t="n"/>
      <c r="H38" s="24" t="n"/>
    </row>
    <row r="39">
      <c r="B39" s="9" t="inlineStr">
        <is>
          <t>Year 5 ARR</t>
        </is>
      </c>
      <c r="H39" s="19">
        <f>H22</f>
        <v/>
      </c>
    </row>
    <row r="40">
      <c r="B40" s="4" t="inlineStr">
        <is>
          <t>Exit multiple</t>
        </is>
      </c>
      <c r="H40" s="30">
        <f>Assumptions!C66</f>
        <v/>
      </c>
    </row>
    <row r="41">
      <c r="B41" s="11" t="inlineStr">
        <is>
          <t>Implied valuation</t>
        </is>
      </c>
      <c r="C41" s="18" t="n"/>
      <c r="D41" s="18" t="n"/>
      <c r="E41" s="18" t="n"/>
      <c r="F41" s="18" t="n"/>
      <c r="G41" s="18" t="n"/>
      <c r="H41" s="17">
        <f>H39*H40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2026-03-24T14:39:25Z</dcterms:created>
  <dcterms:modified xsi:type="dcterms:W3CDTF">2026-03-24T14:39:25Z</dcterms:modified>
</cp:coreProperties>
</file>