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5-Year 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&quot;x&quot;"/>
    <numFmt numFmtId="167" formatCode="0.0&quot; months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sz val="11"/>
    </font>
    <font>
      <name val="Calibri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9" fontId="2" fillId="0" borderId="0" applyAlignment="1" pivotButton="0" quotePrefix="0" xfId="0">
      <alignment horizontal="right"/>
    </xf>
    <xf numFmtId="0" fontId="5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0" fontId="3" fillId="2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69"/>
  <sheetViews>
    <sheetView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55" customWidth="1" min="4" max="4"/>
  </cols>
  <sheetData>
    <row r="1">
      <c r="B1" s="1" t="inlineStr">
        <is>
          <t>Alexandria Library, Inc — Financial Model</t>
        </is>
      </c>
    </row>
    <row r="2">
      <c r="B2" s="2" t="inlineStr">
        <is>
          <t>Numbers.xlsx</t>
        </is>
      </c>
    </row>
    <row r="4">
      <c r="B4" s="3" t="inlineStr">
        <is>
          <t>Pricing</t>
        </is>
      </c>
      <c r="C4" s="4" t="n"/>
      <c r="D4" s="4" t="n"/>
      <c r="E4" s="4" t="n"/>
    </row>
    <row r="5">
      <c r="B5" s="5" t="inlineStr">
        <is>
          <t>Sovereignty — with kin</t>
        </is>
      </c>
      <c r="C5" s="6" t="n">
        <v>5</v>
      </c>
      <c r="D5" s="5" t="inlineStr">
        <is>
          <t>$/month</t>
        </is>
      </c>
    </row>
    <row r="6">
      <c r="B6" s="5" t="inlineStr">
        <is>
          <t>Sovereignty — without kin</t>
        </is>
      </c>
      <c r="C6" s="6" t="n">
        <v>10</v>
      </c>
      <c r="D6" s="5" t="inlineStr">
        <is>
          <t>$/month</t>
        </is>
      </c>
    </row>
    <row r="7">
      <c r="B7" s="5" t="inlineStr">
        <is>
          <t>Examined Life — with kin</t>
        </is>
      </c>
      <c r="C7" s="6" t="n">
        <v>15</v>
      </c>
      <c r="D7" s="5" t="inlineStr">
        <is>
          <t>$/month</t>
        </is>
      </c>
    </row>
    <row r="8">
      <c r="B8" s="5" t="inlineStr">
        <is>
          <t>Examined Life — without kin</t>
        </is>
      </c>
      <c r="C8" s="6" t="n">
        <v>20</v>
      </c>
      <c r="D8" s="5" t="inlineStr">
        <is>
          <t>$/month</t>
        </is>
      </c>
    </row>
    <row r="9">
      <c r="B9" s="2" t="inlineStr">
        <is>
          <t>% of users with 3+ active kin</t>
        </is>
      </c>
      <c r="C9" s="7" t="n">
        <v>0.6</v>
      </c>
      <c r="D9" s="5" t="inlineStr">
        <is>
          <t>Assumption</t>
        </is>
      </c>
    </row>
    <row r="10">
      <c r="B10" s="8" t="inlineStr">
        <is>
          <t>Blended Sovereignty ARPU</t>
        </is>
      </c>
      <c r="C10" s="9">
        <f>ROUND(C9*C5+(1-C9)*C6,0)</f>
        <v/>
      </c>
      <c r="D10" s="5" t="inlineStr">
        <is>
          <t>$5×0.6 + $10×0.4 = $7, then 10% quarterly / 20% annual discounts</t>
        </is>
      </c>
    </row>
    <row r="11">
      <c r="B11" s="8" t="inlineStr">
        <is>
          <t>Effective Sovereignty ARPU (after discounts)</t>
        </is>
      </c>
      <c r="C11" s="9" t="n">
        <v>6</v>
      </c>
    </row>
    <row r="12">
      <c r="B12" s="8" t="inlineStr">
        <is>
          <t>Blended Examined Life ARPU</t>
        </is>
      </c>
      <c r="C12" s="9">
        <f>ROUND(C9*C7+(1-C9)*C8,0)</f>
        <v/>
      </c>
    </row>
    <row r="13">
      <c r="B13" s="8" t="inlineStr">
        <is>
          <t>Effective Examined Life ARPU (after discounts)</t>
        </is>
      </c>
      <c r="C13" s="9" t="n">
        <v>15</v>
      </c>
    </row>
    <row r="15">
      <c r="B15" s="3" t="inlineStr">
        <is>
          <t>Payment Processing</t>
        </is>
      </c>
      <c r="C15" s="4" t="n"/>
      <c r="D15" s="4" t="n"/>
      <c r="E15" s="4" t="n"/>
    </row>
    <row r="16">
      <c r="B16" s="2" t="inlineStr">
        <is>
          <t>ACH rate (Sovereignty)</t>
        </is>
      </c>
      <c r="C16" s="7" t="n">
        <v>0.008</v>
      </c>
      <c r="D16" s="5" t="inlineStr">
        <is>
          <t>0.8% flat, no per-txn fee</t>
        </is>
      </c>
    </row>
    <row r="17">
      <c r="B17" s="2" t="inlineStr">
        <is>
          <t>Stripe rate (Examined Life)</t>
        </is>
      </c>
      <c r="C17" s="7" t="n">
        <v>0.029</v>
      </c>
      <c r="D17" s="5" t="inlineStr">
        <is>
          <t>2.9% + $0.30/txn</t>
        </is>
      </c>
    </row>
    <row r="18">
      <c r="B18" s="2" t="inlineStr">
        <is>
          <t>Stripe per-txn fee</t>
        </is>
      </c>
      <c r="C18" s="10" t="n">
        <v>0.3</v>
      </c>
    </row>
    <row r="20">
      <c r="B20" s="3" t="inlineStr">
        <is>
          <t>Growth</t>
        </is>
      </c>
      <c r="C20" s="4" t="n"/>
      <c r="D20" s="4" t="n"/>
      <c r="E20" s="4" t="n"/>
    </row>
    <row r="21">
      <c r="B21" s="5" t="inlineStr">
        <is>
          <t>Year 1 — Sovereignty users (EOY)</t>
        </is>
      </c>
      <c r="C21" s="11" t="n">
        <v>2000</v>
      </c>
    </row>
    <row r="22">
      <c r="B22" s="2" t="inlineStr">
        <is>
          <t>Sovereignty growth (YoY)</t>
        </is>
      </c>
      <c r="D22" s="5" t="inlineStr">
        <is>
          <t>Y2: 150%, Y3: 120%, Y4: 90%, Y5: 60%</t>
        </is>
      </c>
    </row>
    <row r="23">
      <c r="B23" s="2" t="inlineStr">
        <is>
          <t xml:space="preserve">  Year 2 growth</t>
        </is>
      </c>
      <c r="C23" s="12" t="n">
        <v>1.5</v>
      </c>
    </row>
    <row r="24">
      <c r="B24" s="2" t="inlineStr">
        <is>
          <t xml:space="preserve">  Year 3 growth</t>
        </is>
      </c>
      <c r="C24" s="12" t="n">
        <v>1.2</v>
      </c>
    </row>
    <row r="25">
      <c r="B25" s="2" t="inlineStr">
        <is>
          <t xml:space="preserve">  Year 4 growth</t>
        </is>
      </c>
      <c r="C25" s="12" t="n">
        <v>0.9</v>
      </c>
    </row>
    <row r="26">
      <c r="B26" s="2" t="inlineStr">
        <is>
          <t xml:space="preserve">  Year 5 growth</t>
        </is>
      </c>
      <c r="C26" s="12" t="n">
        <v>0.6</v>
      </c>
    </row>
    <row r="27">
      <c r="B27" s="2" t="inlineStr">
        <is>
          <t>Year 1 — Sov → EL conversion</t>
        </is>
      </c>
      <c r="C27" s="7" t="n">
        <v>0.08</v>
      </c>
    </row>
    <row r="28">
      <c r="B28" s="2" t="inlineStr">
        <is>
          <t>Annual conversion improvement</t>
        </is>
      </c>
      <c r="C28" s="7" t="n">
        <v>0.02</v>
      </c>
      <c r="D28" s="5" t="inlineStr">
        <is>
          <t>+2pp/year</t>
        </is>
      </c>
    </row>
    <row r="29">
      <c r="B29" s="2" t="inlineStr">
        <is>
          <t>EL organic growth (direct users)</t>
        </is>
      </c>
      <c r="C29" s="12" t="n">
        <v>0.3</v>
      </c>
      <c r="D29" s="5" t="inlineStr">
        <is>
          <t>30% YoY</t>
        </is>
      </c>
    </row>
    <row r="30">
      <c r="B30" s="2" t="inlineStr">
        <is>
          <t>Monthly churn — Sovereignty</t>
        </is>
      </c>
      <c r="C30" s="7" t="n">
        <v>0.04</v>
      </c>
    </row>
    <row r="31">
      <c r="B31" s="2" t="inlineStr">
        <is>
          <t>Monthly churn — Examined Life</t>
        </is>
      </c>
      <c r="C31" s="7" t="n">
        <v>0.02</v>
      </c>
    </row>
    <row r="33">
      <c r="B33" s="3" t="inlineStr">
        <is>
          <t>Company Opex (Monthly)</t>
        </is>
      </c>
      <c r="C33" s="4" t="n"/>
      <c r="D33" s="4" t="n"/>
      <c r="E33" s="4" t="n"/>
    </row>
    <row r="34">
      <c r="B34" s="5" t="inlineStr">
        <is>
          <t>Claude Max</t>
        </is>
      </c>
      <c r="C34" s="6" t="n">
        <v>100</v>
      </c>
      <c r="D34" s="13" t="inlineStr">
        <is>
          <t>anthropic.com</t>
        </is>
      </c>
    </row>
    <row r="35">
      <c r="B35" s="5" t="inlineStr">
        <is>
          <t>Railway</t>
        </is>
      </c>
      <c r="C35" s="6" t="n">
        <v>1</v>
      </c>
      <c r="D35" s="13" t="inlineStr">
        <is>
          <t>railway.com</t>
        </is>
      </c>
    </row>
    <row r="36">
      <c r="B36" s="8" t="inlineStr">
        <is>
          <t>Total monthly opex</t>
        </is>
      </c>
      <c r="C36" s="9">
        <f>C34+C35</f>
        <v/>
      </c>
    </row>
    <row r="37">
      <c r="B37" s="8" t="inlineStr">
        <is>
          <t>Annual opex</t>
        </is>
      </c>
      <c r="C37" s="9">
        <f>C36*12</f>
        <v/>
      </c>
    </row>
    <row r="38">
      <c r="B38" s="2" t="inlineStr">
        <is>
          <t>Free stack</t>
        </is>
      </c>
      <c r="D38" s="2" t="inlineStr">
        <is>
          <t>GitHub, Google Drive, Vercel, UptimeRobot, Google Cloud, Claude Code — all $0</t>
        </is>
      </c>
    </row>
    <row r="40">
      <c r="B40" s="3" t="inlineStr">
        <is>
          <t>Legal &amp; One-Time Costs</t>
        </is>
      </c>
      <c r="C40" s="4" t="n"/>
      <c r="D40" s="4" t="n"/>
      <c r="E40" s="4" t="n"/>
    </row>
    <row r="41">
      <c r="B41" s="5" t="inlineStr">
        <is>
          <t>Stripe Atlas (Delaware C-Corp)</t>
        </is>
      </c>
      <c r="C41" s="6" t="n">
        <v>500</v>
      </c>
      <c r="D41" s="5" t="inlineStr">
        <is>
          <t>Paid</t>
        </is>
      </c>
    </row>
    <row r="42">
      <c r="B42" s="5" t="inlineStr">
        <is>
          <t>California foreign qualification</t>
        </is>
      </c>
      <c r="C42" s="6" t="n">
        <v>150</v>
      </c>
    </row>
    <row r="43">
      <c r="B43" s="5" t="inlineStr">
        <is>
          <t>Delaware franchise tax (annual)</t>
        </is>
      </c>
      <c r="C43" s="6" t="n">
        <v>400</v>
      </c>
    </row>
    <row r="44">
      <c r="B44" s="5" t="inlineStr">
        <is>
          <t>California franchise tax (annual)</t>
        </is>
      </c>
      <c r="C44" s="6" t="n">
        <v>800</v>
      </c>
    </row>
    <row r="45">
      <c r="B45" s="5" t="inlineStr">
        <is>
          <t>Registered agent (annual)</t>
        </is>
      </c>
      <c r="C45" s="6" t="n">
        <v>150</v>
      </c>
    </row>
    <row r="46">
      <c r="B46" s="5" t="inlineStr">
        <is>
          <t>CPA — federal return</t>
        </is>
      </c>
      <c r="C46" s="6" t="n">
        <v>1500</v>
      </c>
      <c r="D46" s="5" t="inlineStr">
        <is>
          <t>Estimate</t>
        </is>
      </c>
    </row>
    <row r="47">
      <c r="B47" s="5" t="inlineStr">
        <is>
          <t>CPA — state return(s)</t>
        </is>
      </c>
      <c r="C47" s="6" t="n">
        <v>500</v>
      </c>
      <c r="D47" s="5" t="inlineStr">
        <is>
          <t>Estimate</t>
        </is>
      </c>
    </row>
    <row r="48">
      <c r="B48" s="8" t="inlineStr">
        <is>
          <t>Total one-time (Year 1)</t>
        </is>
      </c>
      <c r="C48" s="9">
        <f>C41+C42</f>
        <v/>
      </c>
    </row>
    <row r="49">
      <c r="B49" s="8" t="inlineStr">
        <is>
          <t>Total recurring annual</t>
        </is>
      </c>
      <c r="C49" s="9">
        <f>C43+C44+C45+C46+C47</f>
        <v/>
      </c>
    </row>
    <row r="51">
      <c r="B51" s="3" t="inlineStr">
        <is>
          <t>Founder Living Costs (not company opex)</t>
        </is>
      </c>
      <c r="C51" s="4" t="n"/>
      <c r="D51" s="4" t="n"/>
      <c r="E51" s="4" t="n"/>
    </row>
    <row r="52">
      <c r="B52" s="5" t="inlineStr">
        <is>
          <t>Food, phone, subscriptions</t>
        </is>
      </c>
      <c r="C52" s="6" t="n">
        <v>300</v>
      </c>
      <c r="D52" s="5" t="inlineStr">
        <is>
          <t>$55/week food + T-Mobile + Apple One</t>
        </is>
      </c>
    </row>
    <row r="53">
      <c r="B53" s="5" t="inlineStr">
        <is>
          <t>Annual</t>
        </is>
      </c>
      <c r="C53" s="6">
        <f>C52*12</f>
        <v/>
      </c>
    </row>
    <row r="55">
      <c r="B55" s="3" t="inlineStr">
        <is>
          <t>Marketing</t>
        </is>
      </c>
      <c r="C55" s="4" t="n"/>
      <c r="D55" s="4" t="n"/>
      <c r="E55" s="4" t="n"/>
    </row>
    <row r="56">
      <c r="B56" s="5" t="inlineStr">
        <is>
          <t>Year 1 ad spend (monthly)</t>
        </is>
      </c>
      <c r="C56" s="6" t="n">
        <v>500</v>
      </c>
    </row>
    <row r="57">
      <c r="B57" s="5" t="inlineStr">
        <is>
          <t>Year 2+ ad spend (monthly)</t>
        </is>
      </c>
      <c r="C57" s="6" t="n">
        <v>1000</v>
      </c>
    </row>
    <row r="59">
      <c r="B59" s="3" t="inlineStr">
        <is>
          <t>Library for Labs (Year 3+)</t>
        </is>
      </c>
      <c r="C59" s="4" t="n"/>
      <c r="D59" s="4" t="n"/>
      <c r="E59" s="4" t="n"/>
    </row>
    <row r="60">
      <c r="B60" s="5" t="inlineStr">
        <is>
          <t>Average annual contract value</t>
        </is>
      </c>
      <c r="C60" s="6" t="n">
        <v>50000</v>
      </c>
    </row>
    <row r="61">
      <c r="B61" s="5" t="inlineStr">
        <is>
          <t>Year 3 contracts</t>
        </is>
      </c>
      <c r="C61" s="11" t="n">
        <v>2</v>
      </c>
    </row>
    <row r="62">
      <c r="B62" s="5" t="inlineStr">
        <is>
          <t>Year 4 contracts</t>
        </is>
      </c>
      <c r="C62" s="11" t="n">
        <v>5</v>
      </c>
    </row>
    <row r="63">
      <c r="B63" s="5" t="inlineStr">
        <is>
          <t>Year 5 contracts</t>
        </is>
      </c>
      <c r="C63" s="11" t="n">
        <v>12</v>
      </c>
    </row>
    <row r="64">
      <c r="B64" s="5" t="inlineStr">
        <is>
          <t>Library for People (Y4+, annual)</t>
        </is>
      </c>
      <c r="C64" s="6" t="n">
        <v>25000</v>
      </c>
    </row>
    <row r="66">
      <c r="B66" s="3" t="inlineStr">
        <is>
          <t>Exit / Valuation</t>
        </is>
      </c>
      <c r="C66" s="4" t="n"/>
      <c r="D66" s="4" t="n"/>
      <c r="E66" s="4" t="n"/>
    </row>
    <row r="67">
      <c r="B67" s="5" t="inlineStr">
        <is>
          <t>Revenue multiple (SaaS)</t>
        </is>
      </c>
      <c r="C67" s="14" t="n">
        <v>10</v>
      </c>
      <c r="D67" s="5" t="inlineStr">
        <is>
          <t>10× ARR</t>
        </is>
      </c>
    </row>
    <row r="68">
      <c r="B68" s="5" t="inlineStr">
        <is>
          <t>Strategic premium (dataset)</t>
        </is>
      </c>
      <c r="C68" s="14" t="n">
        <v>2</v>
      </c>
      <c r="D68" s="5" t="inlineStr">
        <is>
          <t>2×</t>
        </is>
      </c>
    </row>
    <row r="69">
      <c r="B69" s="8" t="inlineStr">
        <is>
          <t>Year 5 exit multiple</t>
        </is>
      </c>
      <c r="C69" s="15">
        <f>C67*C68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Alexandria Library, Inc — 5-Year Projections</t>
        </is>
      </c>
    </row>
    <row r="3">
      <c r="B3" s="3" t="inlineStr">
        <is>
          <t>Users</t>
        </is>
      </c>
      <c r="C3" s="16" t="inlineStr">
        <is>
          <t>Year 1</t>
        </is>
      </c>
      <c r="D3" s="16" t="inlineStr">
        <is>
          <t>Year 2</t>
        </is>
      </c>
      <c r="E3" s="16" t="inlineStr">
        <is>
          <t>Year 3</t>
        </is>
      </c>
      <c r="F3" s="16" t="inlineStr">
        <is>
          <t>Year 4</t>
        </is>
      </c>
      <c r="G3" s="16" t="inlineStr">
        <is>
          <t>Year 5</t>
        </is>
      </c>
    </row>
    <row r="4">
      <c r="B4" s="5" t="inlineStr">
        <is>
          <t>Sovereignty users (EOY)</t>
        </is>
      </c>
      <c r="C4" s="11">
        <f>Assumptions!C21</f>
        <v/>
      </c>
      <c r="D4" s="11">
        <f>ROUND(C4*(1+Assumptions!C23),0)</f>
        <v/>
      </c>
      <c r="E4" s="11">
        <f>ROUND(D4*(1+Assumptions!C24),0)</f>
        <v/>
      </c>
      <c r="F4" s="11">
        <f>ROUND(E4*(1+Assumptions!C25),0)</f>
        <v/>
      </c>
      <c r="G4" s="11">
        <f>ROUND(F4*(1+Assumptions!C26),0)</f>
        <v/>
      </c>
    </row>
    <row r="5">
      <c r="B5" s="2" t="inlineStr">
        <is>
          <t>Sov → EL conversion</t>
        </is>
      </c>
      <c r="C5" s="7">
        <f>Assumptions!C27</f>
        <v/>
      </c>
      <c r="D5" s="7">
        <f>C5+Assumptions!C28</f>
        <v/>
      </c>
      <c r="E5" s="7">
        <f>D5+Assumptions!C28</f>
        <v/>
      </c>
      <c r="F5" s="7">
        <f>E5+Assumptions!C28</f>
        <v/>
      </c>
      <c r="G5" s="7">
        <f>F5+Assumptions!C28</f>
        <v/>
      </c>
    </row>
    <row r="6">
      <c r="B6" s="5" t="inlineStr">
        <is>
          <t>Converted to Examined Life</t>
        </is>
      </c>
      <c r="C6" s="11">
        <f>ROUND(C4*C5,0)</f>
        <v/>
      </c>
      <c r="D6" s="11">
        <f>ROUND(D4*D5,0)</f>
        <v/>
      </c>
      <c r="E6" s="11">
        <f>ROUND(E4*E5,0)</f>
        <v/>
      </c>
      <c r="F6" s="11">
        <f>ROUND(F4*F5,0)</f>
        <v/>
      </c>
      <c r="G6" s="11">
        <f>ROUND(G4*G5,0)</f>
        <v/>
      </c>
    </row>
    <row r="7">
      <c r="B7" s="5" t="inlineStr">
        <is>
          <t>Examined Life (direct, cumulative)</t>
        </is>
      </c>
      <c r="C7" s="11" t="n">
        <v>50</v>
      </c>
      <c r="D7" s="11">
        <f>ROUND(C7*(1+Assumptions!C29),0)</f>
        <v/>
      </c>
      <c r="E7" s="11">
        <f>ROUND(D7*(1+Assumptions!C29),0)</f>
        <v/>
      </c>
      <c r="F7" s="11">
        <f>ROUND(E7*(1+Assumptions!C29),0)</f>
        <v/>
      </c>
      <c r="G7" s="11">
        <f>ROUND(F7*(1+Assumptions!C29),0)</f>
        <v/>
      </c>
    </row>
    <row r="8">
      <c r="B8" s="8" t="inlineStr">
        <is>
          <t>Total Examined Life users</t>
        </is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</row>
    <row r="9">
      <c r="B9" s="8" t="inlineStr">
        <is>
          <t>Total paying users</t>
        </is>
      </c>
      <c r="C9" s="17">
        <f>C4+C8</f>
        <v/>
      </c>
      <c r="D9" s="17">
        <f>D4+D8</f>
        <v/>
      </c>
      <c r="E9" s="17">
        <f>E4+E8</f>
        <v/>
      </c>
      <c r="F9" s="17">
        <f>F4+F8</f>
        <v/>
      </c>
      <c r="G9" s="17">
        <f>G4+G8</f>
        <v/>
      </c>
    </row>
    <row r="11">
      <c r="B11" s="3" t="inlineStr">
        <is>
          <t>Annual Revenue</t>
        </is>
      </c>
      <c r="C11" s="16" t="inlineStr">
        <is>
          <t>Year 1</t>
        </is>
      </c>
      <c r="D11" s="16" t="inlineStr">
        <is>
          <t>Year 2</t>
        </is>
      </c>
      <c r="E11" s="16" t="inlineStr">
        <is>
          <t>Year 3</t>
        </is>
      </c>
      <c r="F11" s="16" t="inlineStr">
        <is>
          <t>Year 4</t>
        </is>
      </c>
      <c r="G11" s="16" t="inlineStr">
        <is>
          <t>Year 5</t>
        </is>
      </c>
    </row>
    <row r="12">
      <c r="B12" s="5" t="inlineStr">
        <is>
          <t>Sovereignty subscription revenue</t>
        </is>
      </c>
      <c r="C12" s="6">
        <f>C4*Assumptions!C11*12</f>
        <v/>
      </c>
      <c r="D12" s="6">
        <f>D4*Assumptions!C11*12</f>
        <v/>
      </c>
      <c r="E12" s="6">
        <f>E4*Assumptions!C11*12</f>
        <v/>
      </c>
      <c r="F12" s="6">
        <f>F4*Assumptions!C11*12</f>
        <v/>
      </c>
      <c r="G12" s="6">
        <f>G4*Assumptions!C11*12</f>
        <v/>
      </c>
    </row>
    <row r="13">
      <c r="B13" s="5" t="inlineStr">
        <is>
          <t>Examined Life subscription revenue</t>
        </is>
      </c>
      <c r="C13" s="6">
        <f>C8*Assumptions!C13*12</f>
        <v/>
      </c>
      <c r="D13" s="6">
        <f>D8*Assumptions!C13*12</f>
        <v/>
      </c>
      <c r="E13" s="6">
        <f>E8*Assumptions!C13*12</f>
        <v/>
      </c>
      <c r="F13" s="6">
        <f>F8*Assumptions!C13*12</f>
        <v/>
      </c>
      <c r="G13" s="6">
        <f>G8*Assumptions!C13*12</f>
        <v/>
      </c>
    </row>
    <row r="14">
      <c r="B14" s="8" t="inlineStr">
        <is>
          <t>Total subscription revenue</t>
        </is>
      </c>
      <c r="C14" s="9">
        <f>C12+C13</f>
        <v/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</row>
    <row r="15">
      <c r="B15" s="2" t="inlineStr">
        <is>
          <t>% growth</t>
        </is>
      </c>
      <c r="D15" s="12">
        <f>(D14-C14)/C14</f>
        <v/>
      </c>
      <c r="E15" s="12">
        <f>(E14-D14)/D14</f>
        <v/>
      </c>
      <c r="F15" s="12">
        <f>(F14-E14)/E14</f>
        <v/>
      </c>
      <c r="G15" s="12">
        <f>(G14-F14)/F14</f>
        <v/>
      </c>
    </row>
    <row r="17">
      <c r="B17" s="5" t="inlineStr">
        <is>
          <t>Library for Labs (B2B)</t>
        </is>
      </c>
      <c r="C17" s="6" t="n">
        <v>0</v>
      </c>
      <c r="D17" s="6" t="n">
        <v>0</v>
      </c>
      <c r="E17" s="6">
        <f>Assumptions!C61*Assumptions!C60</f>
        <v/>
      </c>
      <c r="F17" s="6">
        <f>Assumptions!C62*Assumptions!C60</f>
        <v/>
      </c>
      <c r="G17" s="6">
        <f>Assumptions!C63*Assumptions!C60</f>
        <v/>
      </c>
    </row>
    <row r="18">
      <c r="B18" s="5" t="inlineStr">
        <is>
          <t>Library for People (rev-share)</t>
        </is>
      </c>
      <c r="C18" s="6" t="n">
        <v>0</v>
      </c>
      <c r="D18" s="6" t="n">
        <v>0</v>
      </c>
      <c r="E18" s="6" t="n">
        <v>0</v>
      </c>
      <c r="F18" s="6">
        <f>Assumptions!C64</f>
        <v/>
      </c>
      <c r="G18" s="6">
        <f>Assumptions!C64*2</f>
        <v/>
      </c>
    </row>
    <row r="19">
      <c r="B19" s="8" t="inlineStr">
        <is>
          <t>Total Library revenue</t>
        </is>
      </c>
      <c r="C19" s="9">
        <f>C17+C18</f>
        <v/>
      </c>
      <c r="D19" s="9">
        <f>D17+D18</f>
        <v/>
      </c>
      <c r="E19" s="9">
        <f>E17+E18</f>
        <v/>
      </c>
      <c r="F19" s="9">
        <f>F17+F18</f>
        <v/>
      </c>
      <c r="G19" s="9">
        <f>G17+G18</f>
        <v/>
      </c>
    </row>
    <row r="21">
      <c r="B21" s="18" t="inlineStr">
        <is>
          <t>TOTAL REVENUE</t>
        </is>
      </c>
      <c r="C21" s="19">
        <f>C14+C19</f>
        <v/>
      </c>
      <c r="D21" s="19">
        <f>D14+D19</f>
        <v/>
      </c>
      <c r="E21" s="19">
        <f>E14+E19</f>
        <v/>
      </c>
      <c r="F21" s="19">
        <f>F14+F19</f>
        <v/>
      </c>
      <c r="G21" s="19">
        <f>G14+G19</f>
        <v/>
      </c>
    </row>
    <row r="23">
      <c r="B23" s="3" t="inlineStr">
        <is>
          <t>Annual Costs</t>
        </is>
      </c>
      <c r="C23" s="16" t="inlineStr">
        <is>
          <t>Year 1</t>
        </is>
      </c>
      <c r="D23" s="16" t="inlineStr">
        <is>
          <t>Year 2</t>
        </is>
      </c>
      <c r="E23" s="16" t="inlineStr">
        <is>
          <t>Year 3</t>
        </is>
      </c>
      <c r="F23" s="16" t="inlineStr">
        <is>
          <t>Year 4</t>
        </is>
      </c>
      <c r="G23" s="16" t="inlineStr">
        <is>
          <t>Year 5</t>
        </is>
      </c>
    </row>
    <row r="24">
      <c r="B24" s="5" t="inlineStr">
        <is>
          <t>Infrastructure</t>
        </is>
      </c>
      <c r="C24" s="6">
        <f>Assumptions!C37</f>
        <v/>
      </c>
      <c r="D24" s="6">
        <f>Assumptions!C37</f>
        <v/>
      </c>
      <c r="E24" s="6">
        <f>Assumptions!C37</f>
        <v/>
      </c>
      <c r="F24" s="6">
        <f>Assumptions!C37</f>
        <v/>
      </c>
      <c r="G24" s="6">
        <f>Assumptions!C37</f>
        <v/>
      </c>
    </row>
    <row r="25">
      <c r="B25" s="5" t="inlineStr">
        <is>
          <t>Payment processing</t>
        </is>
      </c>
      <c r="C25" s="6">
        <f>ROUND(C12*Assumptions!C16 + C13*Assumptions!C17 + C8*12*Assumptions!C18, 0)</f>
        <v/>
      </c>
      <c r="D25" s="6">
        <f>ROUND(D12*Assumptions!C16 + D13*Assumptions!C17 + D8*12*Assumptions!C18, 0)</f>
        <v/>
      </c>
      <c r="E25" s="6">
        <f>ROUND(E12*Assumptions!C16 + E13*Assumptions!C17 + E8*12*Assumptions!C18, 0)</f>
        <v/>
      </c>
      <c r="F25" s="6">
        <f>ROUND(F12*Assumptions!C16 + F13*Assumptions!C17 + F8*12*Assumptions!C18, 0)</f>
        <v/>
      </c>
      <c r="G25" s="6">
        <f>ROUND(G12*Assumptions!C16 + G13*Assumptions!C17 + G8*12*Assumptions!C18, 0)</f>
        <v/>
      </c>
    </row>
    <row r="26">
      <c r="B26" s="5" t="inlineStr">
        <is>
          <t>Taxes, permits, filings</t>
        </is>
      </c>
      <c r="C26" s="6">
        <f>Assumptions!C48+Assumptions!C49</f>
        <v/>
      </c>
      <c r="D26" s="6">
        <f>Assumptions!C49</f>
        <v/>
      </c>
      <c r="E26" s="6">
        <f>Assumptions!C49</f>
        <v/>
      </c>
      <c r="F26" s="6">
        <f>Assumptions!C49</f>
        <v/>
      </c>
      <c r="G26" s="6">
        <f>Assumptions!C49</f>
        <v/>
      </c>
    </row>
    <row r="27">
      <c r="B27" s="5" t="inlineStr">
        <is>
          <t>Ads / marketing</t>
        </is>
      </c>
      <c r="C27" s="6">
        <f>Assumptions!C56*12</f>
        <v/>
      </c>
      <c r="D27" s="6">
        <f>Assumptions!C57*12</f>
        <v/>
      </c>
      <c r="E27" s="6">
        <f>Assumptions!C57*12</f>
        <v/>
      </c>
      <c r="F27" s="6">
        <f>Assumptions!C57*12</f>
        <v/>
      </c>
      <c r="G27" s="6">
        <f>Assumptions!C57*12</f>
        <v/>
      </c>
    </row>
    <row r="28">
      <c r="B28" s="2" t="inlineStr">
        <is>
          <t>Founder living costs</t>
        </is>
      </c>
      <c r="C28" s="10">
        <f>Assumptions!C53</f>
        <v/>
      </c>
      <c r="D28" s="10">
        <f>Assumptions!C53</f>
        <v/>
      </c>
      <c r="E28" s="10">
        <f>Assumptions!C53</f>
        <v/>
      </c>
      <c r="F28" s="10">
        <f>Assumptions!C53</f>
        <v/>
      </c>
      <c r="G28" s="10">
        <f>Assumptions!C53</f>
        <v/>
      </c>
    </row>
    <row r="29">
      <c r="B29" s="18" t="inlineStr">
        <is>
          <t>Total costs</t>
        </is>
      </c>
      <c r="C29" s="19">
        <f>SUM(C24:C28)</f>
        <v/>
      </c>
      <c r="D29" s="19">
        <f>SUM(D24:D28)</f>
        <v/>
      </c>
      <c r="E29" s="19">
        <f>SUM(E24:E28)</f>
        <v/>
      </c>
      <c r="F29" s="19">
        <f>SUM(F24:F28)</f>
        <v/>
      </c>
      <c r="G29" s="19">
        <f>SUM(G24:G28)</f>
        <v/>
      </c>
    </row>
    <row r="31">
      <c r="B31" s="3" t="inlineStr">
        <is>
          <t>Profitability</t>
        </is>
      </c>
      <c r="C31" s="16" t="inlineStr">
        <is>
          <t>Year 1</t>
        </is>
      </c>
      <c r="D31" s="16" t="inlineStr">
        <is>
          <t>Year 2</t>
        </is>
      </c>
      <c r="E31" s="16" t="inlineStr">
        <is>
          <t>Year 3</t>
        </is>
      </c>
      <c r="F31" s="16" t="inlineStr">
        <is>
          <t>Year 4</t>
        </is>
      </c>
      <c r="G31" s="16" t="inlineStr">
        <is>
          <t>Year 5</t>
        </is>
      </c>
    </row>
    <row r="32">
      <c r="B32" s="8" t="inlineStr">
        <is>
          <t>Net income</t>
        </is>
      </c>
      <c r="C32" s="9">
        <f>C21-C29</f>
        <v/>
      </c>
      <c r="D32" s="9">
        <f>D21-D29</f>
        <v/>
      </c>
      <c r="E32" s="9">
        <f>E21-E29</f>
        <v/>
      </c>
      <c r="F32" s="9">
        <f>F21-F29</f>
        <v/>
      </c>
      <c r="G32" s="9">
        <f>G21-G29</f>
        <v/>
      </c>
    </row>
    <row r="33">
      <c r="B33" s="2" t="inlineStr">
        <is>
          <t>% margin</t>
        </is>
      </c>
      <c r="C33" s="7">
        <f>C32/C21</f>
        <v/>
      </c>
      <c r="D33" s="7">
        <f>D32/D21</f>
        <v/>
      </c>
      <c r="E33" s="7">
        <f>E32/E21</f>
        <v/>
      </c>
      <c r="F33" s="7">
        <f>F32/F21</f>
        <v/>
      </c>
      <c r="G33" s="7">
        <f>G32/G21</f>
        <v/>
      </c>
    </row>
    <row r="34">
      <c r="B34" s="5" t="inlineStr">
        <is>
          <t>Cumulative net income</t>
        </is>
      </c>
      <c r="C34" s="6">
        <f>C32</f>
        <v/>
      </c>
      <c r="D34" s="6">
        <f>C34+D32</f>
        <v/>
      </c>
      <c r="E34" s="6">
        <f>D34+E32</f>
        <v/>
      </c>
      <c r="F34" s="6">
        <f>E34+F32</f>
        <v/>
      </c>
      <c r="G34" s="6">
        <f>F34+G32</f>
        <v/>
      </c>
    </row>
    <row r="36">
      <c r="B36" s="3" t="inlineStr">
        <is>
          <t>Valuation</t>
        </is>
      </c>
      <c r="C36" s="4" t="n"/>
      <c r="D36" s="4" t="n"/>
      <c r="E36" s="4" t="n"/>
      <c r="F36" s="4" t="n"/>
      <c r="G36" s="4" t="n"/>
    </row>
    <row r="37">
      <c r="B37" s="8" t="inlineStr">
        <is>
          <t>Year 5 ARR</t>
        </is>
      </c>
      <c r="G37" s="9">
        <f>G21</f>
        <v/>
      </c>
    </row>
    <row r="38">
      <c r="B38" s="8" t="inlineStr">
        <is>
          <t>Exit multiple</t>
        </is>
      </c>
      <c r="G38" s="20">
        <f>Assumptions!C69</f>
        <v/>
      </c>
    </row>
    <row r="39">
      <c r="B39" s="18" t="inlineStr">
        <is>
          <t>Implied valuation</t>
        </is>
      </c>
      <c r="G39" s="19">
        <f>G37*G38</f>
        <v/>
      </c>
    </row>
    <row r="41">
      <c r="B41" s="2" t="inlineStr">
        <is>
          <t>Months to breakeven (Year 1)</t>
        </is>
      </c>
      <c r="D41" s="21">
        <f>ROUND(C29/C21*12,1)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2026-03-23T20:29:19Z</dcterms:created>
  <dcterms:modified xsi:type="dcterms:W3CDTF">2026-03-23T20:29:19Z</dcterms:modified>
</cp:coreProperties>
</file>